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rda\OneDrive\Documents\A4 Fise Info\ADS\cachebench\rapport\data\"/>
    </mc:Choice>
  </mc:AlternateContent>
  <xr:revisionPtr revIDLastSave="0" documentId="13_ncr:1_{4C77BEAA-4BEE-4F49-9F5A-76E3A9B91FC6}" xr6:coauthVersionLast="47" xr6:coauthVersionMax="47" xr10:uidLastSave="{00000000-0000-0000-0000-000000000000}"/>
  <bookViews>
    <workbookView xWindow="-98" yWindow="-98" windowWidth="19396" windowHeight="10276" firstSheet="2" activeTab="4" xr2:uid="{00000000-000D-0000-FFFF-FFFF00000000}"/>
  </bookViews>
  <sheets>
    <sheet name="feuille1" sheetId="1" r:id="rId1"/>
    <sheet name="Graphiques" sheetId="4" r:id="rId2"/>
    <sheet name="Gains calculés" sheetId="2" r:id="rId3"/>
    <sheet name="Données brute" sheetId="3" r:id="rId4"/>
    <sheet name="Matrice décisi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D20" i="5"/>
  <c r="E20" i="5"/>
  <c r="F20" i="5"/>
</calcChain>
</file>

<file path=xl/sharedStrings.xml><?xml version="1.0" encoding="utf-8"?>
<sst xmlns="http://schemas.openxmlformats.org/spreadsheetml/2006/main" count="99" uniqueCount="69">
  <si>
    <t>Stratégie</t>
  </si>
  <si>
    <t>Avg (ms)</t>
  </si>
  <si>
    <t>P50 (ms)</t>
  </si>
  <si>
    <t>P90 (ms)</t>
  </si>
  <si>
    <t>P95 (ms)</t>
  </si>
  <si>
    <t>Max (ms)</t>
  </si>
  <si>
    <t>Débit (req/s)</t>
  </si>
  <si>
    <t>Hit ratio (%)</t>
  </si>
  <si>
    <t>Erreurs (%)</t>
  </si>
  <si>
    <t>Baseline (sans cache, sans sleep)</t>
  </si>
  <si>
    <t>N/A</t>
  </si>
  <si>
    <t>Caffeine (sans sleep)</t>
  </si>
  <si>
    <t>99+</t>
  </si>
  <si>
    <t>Baseline (avec sleep 20ms)</t>
  </si>
  <si>
    <t>Caffeine (avec sleep 20ms)</t>
  </si>
  <si>
    <t>?</t>
  </si>
  <si>
    <t>Métrique</t>
  </si>
  <si>
    <t>Baseline</t>
  </si>
  <si>
    <t>Caffeine</t>
  </si>
  <si>
    <t>Redis</t>
  </si>
  <si>
    <t>Nginx</t>
  </si>
  <si>
    <t>Latence avg (ms)</t>
  </si>
  <si>
    <t>Latence p50 (ms)</t>
  </si>
  <si>
    <t>Latence p90 (ms)</t>
  </si>
  <si>
    <t>Latence p95 (ms)</t>
  </si>
  <si>
    <t>Latence max (ms)</t>
  </si>
  <si>
    <t>Gain Caffeine (%)</t>
  </si>
  <si>
    <t>Latence avg</t>
  </si>
  <si>
    <t>Latence p50</t>
  </si>
  <si>
    <t>Latence p90</t>
  </si>
  <si>
    <t>Latence p95</t>
  </si>
  <si>
    <t>Critère</t>
  </si>
  <si>
    <t>Sans cache</t>
  </si>
  <si>
    <t>Latence d'accès cache</t>
  </si>
  <si>
    <t>&lt; 1 ms</t>
  </si>
  <si>
    <t>1-3 ms</t>
  </si>
  <si>
    <t>&lt; 0,5 ms</t>
  </si>
  <si>
    <t>Complexité d'intégration</t>
  </si>
  <si>
    <t>Aucune</t>
  </si>
  <si>
    <t>Faible</t>
  </si>
  <si>
    <t>Moyenne</t>
  </si>
  <si>
    <t>Élevée</t>
  </si>
  <si>
    <t>Coût infrastructure</t>
  </si>
  <si>
    <t>Minimal</t>
  </si>
  <si>
    <t>Moyen</t>
  </si>
  <si>
    <t>Scalabilité horizontale</t>
  </si>
  <si>
    <t>Bonne</t>
  </si>
  <si>
    <t>Limitée</t>
  </si>
  <si>
    <t>Excellente</t>
  </si>
  <si>
    <t>Cohérence des données</t>
  </si>
  <si>
    <t>Forte</t>
  </si>
  <si>
    <t>Risque stale</t>
  </si>
  <si>
    <t>Configurable</t>
  </si>
  <si>
    <t>Granularité de contrôle</t>
  </si>
  <si>
    <t>Fine</t>
  </si>
  <si>
    <t>Grossière</t>
  </si>
  <si>
    <t>Cacheabilité</t>
  </si>
  <si>
    <t>Toute méthode</t>
  </si>
  <si>
    <t>GET idempotent</t>
  </si>
  <si>
    <t>Maturité Spring Boot</t>
  </si>
  <si>
    <t>Native</t>
  </si>
  <si>
    <t>Externe</t>
  </si>
  <si>
    <t>Réversibilité</t>
  </si>
  <si>
    <t>Pondération</t>
  </si>
  <si>
    <t>Gain de latence attendu</t>
  </si>
  <si>
    <t>Simplicité Spring</t>
  </si>
  <si>
    <t>Adéquation mono-instance</t>
  </si>
  <si>
    <t>Maturité écosystème</t>
  </si>
  <si>
    <t>TOTAL pondéré 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</si>
</sst>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C27B0"/>
      <color rgb="FF5A7B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fr-MC"/>
              <a:t>Comparaison des latences : Baseline vs Caffeine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brute'!$B$1</c:f>
              <c:strCache>
                <c:ptCount val="1"/>
                <c:pt idx="0">
                  <c:v>Baseline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'Données brute'!$A$2:$A$9</c:f>
              <c:strCache>
                <c:ptCount val="8"/>
                <c:pt idx="0">
                  <c:v>Latence avg (ms)</c:v>
                </c:pt>
                <c:pt idx="1">
                  <c:v>Latence p50 (ms)</c:v>
                </c:pt>
                <c:pt idx="2">
                  <c:v>Latence p90 (ms)</c:v>
                </c:pt>
                <c:pt idx="3">
                  <c:v>Latence p95 (ms)</c:v>
                </c:pt>
                <c:pt idx="4">
                  <c:v>Latence max (ms)</c:v>
                </c:pt>
                <c:pt idx="5">
                  <c:v>Débit (req/s)</c:v>
                </c:pt>
                <c:pt idx="6">
                  <c:v>Hit ratio (%)</c:v>
                </c:pt>
                <c:pt idx="7">
                  <c:v>Erreurs (%)</c:v>
                </c:pt>
              </c:strCache>
            </c:strRef>
          </c:cat>
          <c:val>
            <c:numRef>
              <c:f>'Données brute'!$B$2:$B$9</c:f>
              <c:numCache>
                <c:formatCode>General</c:formatCode>
                <c:ptCount val="8"/>
                <c:pt idx="0">
                  <c:v>29.3</c:v>
                </c:pt>
                <c:pt idx="1">
                  <c:v>28.45</c:v>
                </c:pt>
                <c:pt idx="2">
                  <c:v>36.03</c:v>
                </c:pt>
                <c:pt idx="3">
                  <c:v>37.81</c:v>
                </c:pt>
                <c:pt idx="4">
                  <c:v>151.68</c:v>
                </c:pt>
                <c:pt idx="5">
                  <c:v>74.06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2-49C5-B82D-8E22DF1F9391}"/>
            </c:ext>
          </c:extLst>
        </c:ser>
        <c:ser>
          <c:idx val="1"/>
          <c:order val="1"/>
          <c:tx>
            <c:strRef>
              <c:f>'Données brute'!$C$1</c:f>
              <c:strCache>
                <c:ptCount val="1"/>
                <c:pt idx="0">
                  <c:v>Caffeine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'Données brute'!$A$2:$A$9</c:f>
              <c:strCache>
                <c:ptCount val="8"/>
                <c:pt idx="0">
                  <c:v>Latence avg (ms)</c:v>
                </c:pt>
                <c:pt idx="1">
                  <c:v>Latence p50 (ms)</c:v>
                </c:pt>
                <c:pt idx="2">
                  <c:v>Latence p90 (ms)</c:v>
                </c:pt>
                <c:pt idx="3">
                  <c:v>Latence p95 (ms)</c:v>
                </c:pt>
                <c:pt idx="4">
                  <c:v>Latence max (ms)</c:v>
                </c:pt>
                <c:pt idx="5">
                  <c:v>Débit (req/s)</c:v>
                </c:pt>
                <c:pt idx="6">
                  <c:v>Hit ratio (%)</c:v>
                </c:pt>
                <c:pt idx="7">
                  <c:v>Erreurs (%)</c:v>
                </c:pt>
              </c:strCache>
            </c:strRef>
          </c:cat>
          <c:val>
            <c:numRef>
              <c:f>'Données brute'!$C$2:$C$9</c:f>
              <c:numCache>
                <c:formatCode>General</c:formatCode>
                <c:ptCount val="8"/>
                <c:pt idx="0">
                  <c:v>1.22</c:v>
                </c:pt>
                <c:pt idx="1">
                  <c:v>1.02</c:v>
                </c:pt>
                <c:pt idx="2">
                  <c:v>1.77</c:v>
                </c:pt>
                <c:pt idx="3">
                  <c:v>2.11</c:v>
                </c:pt>
                <c:pt idx="4">
                  <c:v>84.43</c:v>
                </c:pt>
                <c:pt idx="5">
                  <c:v>78.08</c:v>
                </c:pt>
                <c:pt idx="6">
                  <c:v>99.8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2-49C5-B82D-8E22DF1F939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26286367"/>
        <c:axId val="1626288287"/>
      </c:barChart>
      <c:catAx>
        <c:axId val="162628636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6288287"/>
        <c:crosses val="autoZero"/>
        <c:auto val="1"/>
        <c:lblAlgn val="ctr"/>
        <c:lblOffset val="100"/>
        <c:noMultiLvlLbl val="0"/>
      </c:catAx>
      <c:valAx>
        <c:axId val="162628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/>
                  <a:t>latence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628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C" sz="1400" b="0" i="0" u="none" strike="noStrike" baseline="0"/>
              <a:t>Gain de performance Caffeine vs Baseline</a:t>
            </a:r>
            <a:endParaRPr lang="fr-M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'Gains calculés'!$A$5</c:f>
              <c:strCache>
                <c:ptCount val="1"/>
                <c:pt idx="0">
                  <c:v>Latence p95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'Gains calculés'!$B$1:$B$4</c:f>
              <c:strCache>
                <c:ptCount val="4"/>
                <c:pt idx="0">
                  <c:v>Gain Caffeine (%)</c:v>
                </c:pt>
                <c:pt idx="1">
                  <c:v>95,8</c:v>
                </c:pt>
                <c:pt idx="2">
                  <c:v>96,4</c:v>
                </c:pt>
                <c:pt idx="3">
                  <c:v>95,1</c:v>
                </c:pt>
              </c:strCache>
            </c:strRef>
          </c:cat>
          <c:val>
            <c:numRef>
              <c:f>'Gains calculés'!$B$5</c:f>
              <c:numCache>
                <c:formatCode>0.0</c:formatCode>
                <c:ptCount val="1"/>
                <c:pt idx="0">
                  <c:v>94.4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6-413B-AAD0-A6DC5A630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9720943"/>
        <c:axId val="1543874319"/>
      </c:barChart>
      <c:catAx>
        <c:axId val="108972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3874319"/>
        <c:crosses val="autoZero"/>
        <c:auto val="1"/>
        <c:lblAlgn val="ctr"/>
        <c:lblOffset val="100"/>
        <c:noMultiLvlLbl val="0"/>
      </c:catAx>
      <c:valAx>
        <c:axId val="154387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9720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C" sz="1400" b="0" i="0" u="none" strike="noStrike" baseline="0"/>
              <a:t>Comparaison des latences : Baseline vs Caffeine</a:t>
            </a:r>
            <a:endParaRPr lang="fr-M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brute'!$B$1</c:f>
              <c:strCache>
                <c:ptCount val="1"/>
                <c:pt idx="0">
                  <c:v>Baseline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'Données brute'!$A$2:$A$5</c:f>
              <c:strCache>
                <c:ptCount val="4"/>
                <c:pt idx="0">
                  <c:v>Latence avg (ms)</c:v>
                </c:pt>
                <c:pt idx="1">
                  <c:v>Latence p50 (ms)</c:v>
                </c:pt>
                <c:pt idx="2">
                  <c:v>Latence p90 (ms)</c:v>
                </c:pt>
                <c:pt idx="3">
                  <c:v>Latence p95 (ms)</c:v>
                </c:pt>
              </c:strCache>
            </c:strRef>
          </c:cat>
          <c:val>
            <c:numRef>
              <c:f>'Données brute'!$B$2:$B$5</c:f>
              <c:numCache>
                <c:formatCode>General</c:formatCode>
                <c:ptCount val="4"/>
                <c:pt idx="0">
                  <c:v>29.3</c:v>
                </c:pt>
                <c:pt idx="1">
                  <c:v>28.45</c:v>
                </c:pt>
                <c:pt idx="2">
                  <c:v>36.03</c:v>
                </c:pt>
                <c:pt idx="3">
                  <c:v>37.81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DC-436F-AE77-28C0D53E0357}"/>
            </c:ext>
          </c:extLst>
        </c:ser>
        <c:ser>
          <c:idx val="1"/>
          <c:order val="1"/>
          <c:tx>
            <c:strRef>
              <c:f>'Données brute'!$C$1</c:f>
              <c:strCache>
                <c:ptCount val="1"/>
                <c:pt idx="0">
                  <c:v>Caffeine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'Données brute'!$A$2:$A$5</c:f>
              <c:strCache>
                <c:ptCount val="4"/>
                <c:pt idx="0">
                  <c:v>Latence avg (ms)</c:v>
                </c:pt>
                <c:pt idx="1">
                  <c:v>Latence p50 (ms)</c:v>
                </c:pt>
                <c:pt idx="2">
                  <c:v>Latence p90 (ms)</c:v>
                </c:pt>
                <c:pt idx="3">
                  <c:v>Latence p95 (ms)</c:v>
                </c:pt>
              </c:strCache>
            </c:strRef>
          </c:cat>
          <c:val>
            <c:numRef>
              <c:f>'Données brute'!$C$2:$C$5</c:f>
              <c:numCache>
                <c:formatCode>General</c:formatCode>
                <c:ptCount val="4"/>
                <c:pt idx="0">
                  <c:v>1.22</c:v>
                </c:pt>
                <c:pt idx="1">
                  <c:v>1.02</c:v>
                </c:pt>
                <c:pt idx="2">
                  <c:v>1.77</c:v>
                </c:pt>
                <c:pt idx="3">
                  <c:v>2.11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DC-436F-AE77-28C0D53E03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6869743"/>
        <c:axId val="1746866383"/>
      </c:barChart>
      <c:catAx>
        <c:axId val="1746869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/>
                  <a:t>Métriques</a:t>
                </a:r>
              </a:p>
            </c:rich>
          </c:tx>
          <c:layout>
            <c:manualLayout>
              <c:xMode val="edge"/>
              <c:yMode val="edge"/>
              <c:x val="0.4720126859142606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6866383"/>
        <c:crosses val="autoZero"/>
        <c:auto val="1"/>
        <c:lblAlgn val="ctr"/>
        <c:lblOffset val="100"/>
        <c:noMultiLvlLbl val="0"/>
      </c:catAx>
      <c:valAx>
        <c:axId val="1746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 sz="1000" b="0" i="0" u="none" strike="noStrike" baseline="0"/>
                  <a:t>Latence (ms)</a:t>
                </a:r>
                <a:endParaRPr lang="fr-MC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686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C" sz="1400" b="0" i="0" u="none" strike="noStrike" baseline="0"/>
              <a:t>Gain de performance Caffeine vs Baseline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'Gains calculés'!$B$1</c:f>
              <c:strCache>
                <c:ptCount val="1"/>
                <c:pt idx="0">
                  <c:v>Gain Caffeine (%)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'Gains calculés'!$A$2:$A$5</c:f>
              <c:strCache>
                <c:ptCount val="4"/>
                <c:pt idx="0">
                  <c:v>Latence avg</c:v>
                </c:pt>
                <c:pt idx="1">
                  <c:v>Latence p50</c:v>
                </c:pt>
                <c:pt idx="2">
                  <c:v>Latence p90</c:v>
                </c:pt>
                <c:pt idx="3">
                  <c:v>Latence p95</c:v>
                </c:pt>
              </c:strCache>
            </c:strRef>
          </c:cat>
          <c:val>
            <c:numRef>
              <c:f>'Gains calculés'!$B$2:$B$5</c:f>
              <c:numCache>
                <c:formatCode>0.0</c:formatCode>
                <c:ptCount val="4"/>
                <c:pt idx="0">
                  <c:v>95.8</c:v>
                </c:pt>
                <c:pt idx="1">
                  <c:v>96.4</c:v>
                </c:pt>
                <c:pt idx="2">
                  <c:v>95.1</c:v>
                </c:pt>
                <c:pt idx="3">
                  <c:v>94.4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9F-8DB2-1C68437A98C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13774127"/>
        <c:axId val="1713776527"/>
      </c:barChart>
      <c:catAx>
        <c:axId val="1713774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/>
                  <a:t>Métriques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13776527"/>
        <c:crosses val="autoZero"/>
        <c:auto val="1"/>
        <c:lblAlgn val="ctr"/>
        <c:lblOffset val="100"/>
        <c:noMultiLvlLbl val="0"/>
      </c:catAx>
      <c:valAx>
        <c:axId val="1713776527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 sz="1000" b="0" i="0" u="none" strike="noStrike" baseline="0"/>
                  <a:t>Gain (%)</a:t>
                </a:r>
                <a:endParaRPr lang="fr-MC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13774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C" sz="1400" b="0" i="0" u="none" strike="noStrike" baseline="0"/>
              <a:t>Débit (requêtes par seconde)</a:t>
            </a:r>
            <a:endParaRPr lang="fr-M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brute'!$B$1</c:f>
              <c:strCache>
                <c:ptCount val="1"/>
                <c:pt idx="0">
                  <c:v>Baseline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'Données brute'!$A$7</c:f>
              <c:strCache>
                <c:ptCount val="1"/>
                <c:pt idx="0">
                  <c:v>Débit (req/s)</c:v>
                </c:pt>
              </c:strCache>
            </c:strRef>
          </c:cat>
          <c:val>
            <c:numRef>
              <c:f>'Données brute'!$B$7</c:f>
              <c:numCache>
                <c:formatCode>General</c:formatCode>
                <c:ptCount val="1"/>
                <c:pt idx="0">
                  <c:v>74.06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7-432A-8BA1-5E8EDC681654}"/>
            </c:ext>
          </c:extLst>
        </c:ser>
        <c:ser>
          <c:idx val="1"/>
          <c:order val="1"/>
          <c:tx>
            <c:strRef>
              <c:f>'Données brute'!$C$1</c:f>
              <c:strCache>
                <c:ptCount val="1"/>
                <c:pt idx="0">
                  <c:v>Caffeine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'Données brute'!$A$7</c:f>
              <c:strCache>
                <c:ptCount val="1"/>
                <c:pt idx="0">
                  <c:v>Débit (req/s)</c:v>
                </c:pt>
              </c:strCache>
            </c:strRef>
          </c:cat>
          <c:val>
            <c:numRef>
              <c:f>'Données brute'!$C$7</c:f>
              <c:numCache>
                <c:formatCode>General</c:formatCode>
                <c:ptCount val="1"/>
                <c:pt idx="0">
                  <c:v>78.08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C7-432A-8BA1-5E8EDC6816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11305663"/>
        <c:axId val="1711304703"/>
      </c:barChart>
      <c:catAx>
        <c:axId val="1711305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11304703"/>
        <c:crosses val="autoZero"/>
        <c:auto val="1"/>
        <c:lblAlgn val="ctr"/>
        <c:lblOffset val="100"/>
        <c:noMultiLvlLbl val="0"/>
      </c:catAx>
      <c:valAx>
        <c:axId val="1711304703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C" sz="1000" b="0" i="0" u="none" strike="noStrike" baseline="0"/>
                  <a:t>req/s</a:t>
                </a:r>
                <a:endParaRPr lang="fr-MC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1130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659605</xdr:colOff>
      <xdr:row>2</xdr:row>
      <xdr:rowOff>161925</xdr:rowOff>
    </xdr:from>
    <xdr:to>
      <xdr:col>8</xdr:col>
      <xdr:colOff>659605</xdr:colOff>
      <xdr:row>18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238EE2F-0610-017E-EFD0-EB712ABF0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45243</xdr:colOff>
      <xdr:row>2</xdr:row>
      <xdr:rowOff>95250</xdr:rowOff>
    </xdr:from>
    <xdr:to>
      <xdr:col>9</xdr:col>
      <xdr:colOff>45243</xdr:colOff>
      <xdr:row>17</xdr:row>
      <xdr:rowOff>123825</xdr:rowOff>
    </xdr:to>
    <xdr:graphicFrame macro="">
      <xdr:nvGraphicFramePr>
        <xdr:cNvPr id="3" name="Graphique 1">
          <a:extLst>
            <a:ext uri="{FF2B5EF4-FFF2-40B4-BE49-F238E27FC236}">
              <a16:creationId xmlns:a16="http://schemas.microsoft.com/office/drawing/2014/main" id="{4EF8A7C4-B901-6C30-527F-CBC69E727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45243</xdr:colOff>
      <xdr:row>2</xdr:row>
      <xdr:rowOff>95250</xdr:rowOff>
    </xdr:from>
    <xdr:to>
      <xdr:col>9</xdr:col>
      <xdr:colOff>45243</xdr:colOff>
      <xdr:row>17</xdr:row>
      <xdr:rowOff>123825</xdr:rowOff>
    </xdr:to>
    <xdr:graphicFrame macro="">
      <xdr:nvGraphicFramePr>
        <xdr:cNvPr id="4" name="Graphique 2">
          <a:extLst>
            <a:ext uri="{FF2B5EF4-FFF2-40B4-BE49-F238E27FC236}">
              <a16:creationId xmlns:a16="http://schemas.microsoft.com/office/drawing/2014/main" id="{0583E777-199E-9C7E-D286-58BC2F91C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1459705</xdr:colOff>
      <xdr:row>6</xdr:row>
      <xdr:rowOff>14288</xdr:rowOff>
    </xdr:from>
    <xdr:to>
      <xdr:col>3</xdr:col>
      <xdr:colOff>302417</xdr:colOff>
      <xdr:row>21</xdr:row>
      <xdr:rowOff>42863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B0ACBE0-2214-4B17-9CB6-9C61CED97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659605</xdr:colOff>
      <xdr:row>2</xdr:row>
      <xdr:rowOff>95250</xdr:rowOff>
    </xdr:from>
    <xdr:to>
      <xdr:col>7</xdr:col>
      <xdr:colOff>659605</xdr:colOff>
      <xdr:row>17</xdr:row>
      <xdr:rowOff>123825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72F7728-8772-443B-812C-5099B544B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544063-DDD5-4002-A8AD-3988444D8870}" name="Tableau1" displayName="Tableau1" ref="A1:E9" totalsRowShown="0">
  <autoFilter ref="A1:E9" xr:uid="{4A544063-DDD5-4002-A8AD-3988444D8870}"/>
  <tableColumns count="5">
    <tableColumn id="1" xr3:uid="{66442F32-622E-4FEF-8C26-612EB8ABFF57}" name="Métrique"/>
    <tableColumn id="2" xr3:uid="{FFB5BBF9-85AA-45C1-95A8-1CCBF6493281}" name="Baseline"/>
    <tableColumn id="3" xr3:uid="{152136B8-182B-4044-A68B-19212CE40817}" name="Caffeine"/>
    <tableColumn id="4" xr3:uid="{F7BAB9A8-9D3D-4BFB-92F1-D181F1B0CCAE}" name="Redis"/>
    <tableColumn id="5" xr3:uid="{178BFC63-7A85-4611-9F42-D249430CDE11}" name="Nginx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33529C-01F5-4EA3-BB88-AFD37C8BA431}" name="Tableau2" displayName="Tableau2" ref="A1:E10" totalsRowShown="0">
  <autoFilter ref="A1:E10" xr:uid="{C933529C-01F5-4EA3-BB88-AFD37C8BA431}"/>
  <tableColumns count="5">
    <tableColumn id="1" xr3:uid="{06EC4E83-2194-4E89-AAD8-048E1F3CD4A4}" name="Critère"/>
    <tableColumn id="2" xr3:uid="{A0A2A501-69CA-41B7-AAFC-B6B3F3771AFF}" name="Sans cache"/>
    <tableColumn id="3" xr3:uid="{F935E5BF-7828-41DA-9799-EB0107F6B385}" name="Caffeine"/>
    <tableColumn id="4" xr3:uid="{D8E13C50-56DC-4CD1-A006-74634C6FD777}" name="Redis"/>
    <tableColumn id="5" xr3:uid="{F0467A45-183A-433B-9FEA-56ABDB26B7E2}" name="Nginx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C8F2A3-22E4-4275-9C8A-2D17C4AEC812}" name="Tableau3" displayName="Tableau3" ref="A13:F20" totalsRowShown="0">
  <autoFilter ref="A13:F20" xr:uid="{A1C8F2A3-22E4-4275-9C8A-2D17C4AEC812}"/>
  <tableColumns count="6">
    <tableColumn id="1" xr3:uid="{E710D523-34F0-42D8-8A4D-9DC2FEC6A2B3}" name="Critère"/>
    <tableColumn id="2" xr3:uid="{8EE93EAC-CBB3-439F-8D37-B497815F3CE1}" name="Pondération"/>
    <tableColumn id="3" xr3:uid="{FE366B99-660D-4968-B5AC-49E0259B5604}" name="Sans cache"/>
    <tableColumn id="4" xr3:uid="{9B8E7C6D-BC88-4F08-80E8-710CB407B82A}" name="Caffeine"/>
    <tableColumn id="5" xr3:uid="{6B286BB2-19A2-472B-8695-0215558E9B18}" name="Redis"/>
    <tableColumn id="6" xr3:uid="{1ECEB9B3-9220-4DF4-B4F8-CE9AFA620F75}" name="Nginx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activeCell="D8" sqref="D8"/>
    </sheetView>
  </sheetViews>
  <sheetFormatPr baseColWidth="10" defaultColWidth="9.06640625" defaultRowHeight="14.25" x14ac:dyDescent="0.45"/>
  <sheetData>
    <row r="1" spans="1:9" ht="28.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45">
      <c r="A2" t="s">
        <v>9</v>
      </c>
      <c r="B2">
        <v>1.74</v>
      </c>
      <c r="C2">
        <v>1.55</v>
      </c>
      <c r="D2">
        <v>2.44</v>
      </c>
      <c r="E2">
        <v>2.9</v>
      </c>
      <c r="F2">
        <v>221.74</v>
      </c>
      <c r="G2">
        <v>78.02</v>
      </c>
      <c r="H2" t="s">
        <v>10</v>
      </c>
      <c r="I2">
        <v>0</v>
      </c>
    </row>
    <row r="3" spans="1:9" x14ac:dyDescent="0.45">
      <c r="A3" t="s">
        <v>11</v>
      </c>
      <c r="B3">
        <v>0.77</v>
      </c>
      <c r="C3">
        <v>0.74</v>
      </c>
      <c r="D3">
        <v>1.08</v>
      </c>
      <c r="E3">
        <v>1.1499999999999999</v>
      </c>
      <c r="F3">
        <v>3.68</v>
      </c>
      <c r="G3">
        <v>78.55</v>
      </c>
      <c r="H3" t="s">
        <v>12</v>
      </c>
      <c r="I3">
        <v>0</v>
      </c>
    </row>
    <row r="4" spans="1:9" x14ac:dyDescent="0.45">
      <c r="A4" t="s">
        <v>13</v>
      </c>
      <c r="B4">
        <v>29.3</v>
      </c>
      <c r="C4">
        <v>28.45</v>
      </c>
      <c r="D4">
        <v>36.03</v>
      </c>
      <c r="E4">
        <v>37.81</v>
      </c>
      <c r="F4">
        <v>151.68</v>
      </c>
      <c r="G4">
        <v>74.06</v>
      </c>
      <c r="H4" t="s">
        <v>10</v>
      </c>
      <c r="I4">
        <v>0</v>
      </c>
    </row>
    <row r="5" spans="1:9" x14ac:dyDescent="0.45">
      <c r="A5" t="s">
        <v>14</v>
      </c>
      <c r="B5">
        <v>1.22</v>
      </c>
      <c r="C5">
        <v>1.02</v>
      </c>
      <c r="D5">
        <v>1.77</v>
      </c>
      <c r="E5">
        <v>2.11</v>
      </c>
      <c r="F5">
        <v>84.43</v>
      </c>
      <c r="G5">
        <v>78.08</v>
      </c>
      <c r="H5" t="s">
        <v>15</v>
      </c>
      <c r="I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FEB0-C741-4207-9DFA-6C92878D482C}">
  <dimension ref="A1"/>
  <sheetViews>
    <sheetView workbookViewId="0">
      <selection activeCell="J6" sqref="J6"/>
    </sheetView>
  </sheetViews>
  <sheetFormatPr baseColWidth="10" defaultRowHeight="14.25" x14ac:dyDescent="0.4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1AAFD-0161-4492-B39E-E006E40D5C0F}">
  <dimension ref="A1:B5"/>
  <sheetViews>
    <sheetView zoomScale="85" zoomScaleNormal="85" workbookViewId="0">
      <selection activeCell="C25" sqref="C25"/>
    </sheetView>
  </sheetViews>
  <sheetFormatPr baseColWidth="10" defaultRowHeight="14.25" x14ac:dyDescent="0.45"/>
  <cols>
    <col min="2" max="2" width="69.53125" customWidth="1"/>
  </cols>
  <sheetData>
    <row r="1" spans="1:2" x14ac:dyDescent="0.45">
      <c r="A1" t="s">
        <v>16</v>
      </c>
      <c r="B1" t="s">
        <v>26</v>
      </c>
    </row>
    <row r="2" spans="1:2" x14ac:dyDescent="0.45">
      <c r="A2" t="s">
        <v>27</v>
      </c>
      <c r="B2" s="2">
        <v>95.8</v>
      </c>
    </row>
    <row r="3" spans="1:2" x14ac:dyDescent="0.45">
      <c r="A3" t="s">
        <v>28</v>
      </c>
      <c r="B3" s="2">
        <v>96.4</v>
      </c>
    </row>
    <row r="4" spans="1:2" x14ac:dyDescent="0.45">
      <c r="A4" t="s">
        <v>29</v>
      </c>
      <c r="B4" s="2">
        <v>95.1</v>
      </c>
    </row>
    <row r="5" spans="1:2" x14ac:dyDescent="0.45">
      <c r="A5" t="s">
        <v>30</v>
      </c>
      <c r="B5" s="2">
        <v>94.4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FED6F-AE8F-4869-A528-218EEA734751}">
  <dimension ref="A1:E9"/>
  <sheetViews>
    <sheetView workbookViewId="0">
      <selection activeCell="A7" activeCellId="1" sqref="A1:C1 A7:C7"/>
    </sheetView>
  </sheetViews>
  <sheetFormatPr baseColWidth="10" defaultRowHeight="14.25" x14ac:dyDescent="0.45"/>
  <cols>
    <col min="1" max="1" width="23.3984375" customWidth="1"/>
  </cols>
  <sheetData>
    <row r="1" spans="1:5" x14ac:dyDescent="0.45">
      <c r="A1" t="s">
        <v>16</v>
      </c>
      <c r="B1" t="s">
        <v>17</v>
      </c>
      <c r="C1" t="s">
        <v>18</v>
      </c>
      <c r="D1" t="s">
        <v>19</v>
      </c>
      <c r="E1" t="s">
        <v>20</v>
      </c>
    </row>
    <row r="2" spans="1:5" x14ac:dyDescent="0.45">
      <c r="A2" t="s">
        <v>21</v>
      </c>
      <c r="B2">
        <v>29.3</v>
      </c>
      <c r="C2">
        <v>1.22</v>
      </c>
    </row>
    <row r="3" spans="1:5" x14ac:dyDescent="0.45">
      <c r="A3" t="s">
        <v>22</v>
      </c>
      <c r="B3">
        <v>28.45</v>
      </c>
      <c r="C3">
        <v>1.02</v>
      </c>
    </row>
    <row r="4" spans="1:5" x14ac:dyDescent="0.45">
      <c r="A4" t="s">
        <v>23</v>
      </c>
      <c r="B4">
        <v>36.03</v>
      </c>
      <c r="C4">
        <v>1.77</v>
      </c>
    </row>
    <row r="5" spans="1:5" x14ac:dyDescent="0.45">
      <c r="A5" t="s">
        <v>24</v>
      </c>
      <c r="B5">
        <v>37.81</v>
      </c>
      <c r="C5">
        <v>2.11</v>
      </c>
    </row>
    <row r="6" spans="1:5" x14ac:dyDescent="0.45">
      <c r="A6" t="s">
        <v>25</v>
      </c>
      <c r="B6">
        <v>151.68</v>
      </c>
      <c r="C6">
        <v>84.43</v>
      </c>
    </row>
    <row r="7" spans="1:5" x14ac:dyDescent="0.45">
      <c r="A7" t="s">
        <v>6</v>
      </c>
      <c r="B7">
        <v>74.06</v>
      </c>
      <c r="C7">
        <v>78.08</v>
      </c>
    </row>
    <row r="8" spans="1:5" x14ac:dyDescent="0.45">
      <c r="A8" t="s">
        <v>7</v>
      </c>
      <c r="B8">
        <v>0</v>
      </c>
      <c r="C8">
        <v>99.8</v>
      </c>
    </row>
    <row r="9" spans="1:5" x14ac:dyDescent="0.45">
      <c r="A9" t="s">
        <v>8</v>
      </c>
      <c r="B9">
        <v>0</v>
      </c>
      <c r="C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447D-0A7F-402D-92A2-55CF976AD2BD}">
  <dimension ref="A1:F20"/>
  <sheetViews>
    <sheetView tabSelected="1" topLeftCell="A7" workbookViewId="0">
      <selection activeCell="E24" sqref="E24"/>
    </sheetView>
  </sheetViews>
  <sheetFormatPr baseColWidth="10" defaultRowHeight="14.25" x14ac:dyDescent="0.45"/>
  <cols>
    <col min="2" max="2" width="12.265625" customWidth="1"/>
    <col min="3" max="3" width="11.06640625" customWidth="1"/>
  </cols>
  <sheetData>
    <row r="1" spans="1:6" x14ac:dyDescent="0.45">
      <c r="A1" t="s">
        <v>31</v>
      </c>
      <c r="B1" t="s">
        <v>32</v>
      </c>
      <c r="C1" t="s">
        <v>18</v>
      </c>
      <c r="D1" t="s">
        <v>19</v>
      </c>
      <c r="E1" t="s">
        <v>20</v>
      </c>
    </row>
    <row r="2" spans="1:6" x14ac:dyDescent="0.45">
      <c r="A2" t="s">
        <v>33</v>
      </c>
      <c r="B2" t="s">
        <v>10</v>
      </c>
      <c r="C2" t="s">
        <v>34</v>
      </c>
      <c r="D2" t="s">
        <v>35</v>
      </c>
      <c r="E2" t="s">
        <v>36</v>
      </c>
    </row>
    <row r="3" spans="1:6" x14ac:dyDescent="0.45">
      <c r="A3" t="s">
        <v>37</v>
      </c>
      <c r="B3" t="s">
        <v>38</v>
      </c>
      <c r="C3" t="s">
        <v>39</v>
      </c>
      <c r="D3" t="s">
        <v>40</v>
      </c>
      <c r="E3" t="s">
        <v>41</v>
      </c>
    </row>
    <row r="4" spans="1:6" x14ac:dyDescent="0.45">
      <c r="A4" t="s">
        <v>42</v>
      </c>
      <c r="B4" t="s">
        <v>43</v>
      </c>
      <c r="C4" t="s">
        <v>43</v>
      </c>
      <c r="D4" t="s">
        <v>44</v>
      </c>
      <c r="E4" t="s">
        <v>44</v>
      </c>
    </row>
    <row r="5" spans="1:6" x14ac:dyDescent="0.45">
      <c r="A5" t="s">
        <v>45</v>
      </c>
      <c r="B5" t="s">
        <v>46</v>
      </c>
      <c r="C5" t="s">
        <v>47</v>
      </c>
      <c r="D5" t="s">
        <v>48</v>
      </c>
      <c r="E5" t="s">
        <v>46</v>
      </c>
    </row>
    <row r="6" spans="1:6" x14ac:dyDescent="0.45">
      <c r="A6" t="s">
        <v>49</v>
      </c>
      <c r="B6" t="s">
        <v>50</v>
      </c>
      <c r="C6" t="s">
        <v>51</v>
      </c>
      <c r="D6" t="s">
        <v>52</v>
      </c>
      <c r="E6" t="s">
        <v>51</v>
      </c>
    </row>
    <row r="7" spans="1:6" x14ac:dyDescent="0.45">
      <c r="A7" t="s">
        <v>53</v>
      </c>
      <c r="B7" t="s">
        <v>10</v>
      </c>
      <c r="C7" t="s">
        <v>54</v>
      </c>
      <c r="D7" t="s">
        <v>54</v>
      </c>
      <c r="E7" t="s">
        <v>55</v>
      </c>
    </row>
    <row r="8" spans="1:6" x14ac:dyDescent="0.45">
      <c r="A8" t="s">
        <v>56</v>
      </c>
      <c r="B8" t="s">
        <v>10</v>
      </c>
      <c r="C8" t="s">
        <v>57</v>
      </c>
      <c r="D8" t="s">
        <v>57</v>
      </c>
      <c r="E8" t="s">
        <v>58</v>
      </c>
    </row>
    <row r="9" spans="1:6" x14ac:dyDescent="0.45">
      <c r="A9" t="s">
        <v>59</v>
      </c>
      <c r="B9" t="s">
        <v>10</v>
      </c>
      <c r="C9" t="s">
        <v>60</v>
      </c>
      <c r="D9" t="s">
        <v>60</v>
      </c>
      <c r="E9" t="s">
        <v>61</v>
      </c>
    </row>
    <row r="10" spans="1:6" x14ac:dyDescent="0.45">
      <c r="A10" t="s">
        <v>62</v>
      </c>
      <c r="B10" t="s">
        <v>10</v>
      </c>
      <c r="C10" t="s">
        <v>41</v>
      </c>
      <c r="D10" t="s">
        <v>40</v>
      </c>
      <c r="E10" t="s">
        <v>39</v>
      </c>
    </row>
    <row r="13" spans="1:6" x14ac:dyDescent="0.45">
      <c r="A13" t="s">
        <v>31</v>
      </c>
      <c r="B13" t="s">
        <v>63</v>
      </c>
      <c r="C13" t="s">
        <v>32</v>
      </c>
      <c r="D13" t="s">
        <v>18</v>
      </c>
      <c r="E13" t="s">
        <v>19</v>
      </c>
      <c r="F13" t="s">
        <v>20</v>
      </c>
    </row>
    <row r="14" spans="1:6" x14ac:dyDescent="0.45">
      <c r="A14" t="s">
        <v>64</v>
      </c>
      <c r="B14">
        <v>30</v>
      </c>
      <c r="C14">
        <v>1</v>
      </c>
      <c r="D14">
        <v>5</v>
      </c>
      <c r="E14">
        <v>4</v>
      </c>
      <c r="F14">
        <v>5</v>
      </c>
    </row>
    <row r="15" spans="1:6" x14ac:dyDescent="0.45">
      <c r="A15" t="s">
        <v>65</v>
      </c>
      <c r="B15">
        <v>20</v>
      </c>
      <c r="C15">
        <v>5</v>
      </c>
      <c r="D15">
        <v>5</v>
      </c>
      <c r="E15">
        <v>3</v>
      </c>
      <c r="F15">
        <v>2</v>
      </c>
    </row>
    <row r="16" spans="1:6" x14ac:dyDescent="0.45">
      <c r="A16" t="s">
        <v>66</v>
      </c>
      <c r="B16">
        <v>15</v>
      </c>
      <c r="C16">
        <v>3</v>
      </c>
      <c r="D16">
        <v>5</v>
      </c>
      <c r="E16">
        <v>3</v>
      </c>
      <c r="F16">
        <v>4</v>
      </c>
    </row>
    <row r="17" spans="1:6" x14ac:dyDescent="0.45">
      <c r="A17" t="s">
        <v>42</v>
      </c>
      <c r="B17">
        <v>15</v>
      </c>
      <c r="C17">
        <v>5</v>
      </c>
      <c r="D17">
        <v>5</v>
      </c>
      <c r="E17">
        <v>3</v>
      </c>
      <c r="F17">
        <v>3</v>
      </c>
    </row>
    <row r="18" spans="1:6" x14ac:dyDescent="0.45">
      <c r="A18" t="s">
        <v>67</v>
      </c>
      <c r="B18">
        <v>10</v>
      </c>
      <c r="C18">
        <v>5</v>
      </c>
      <c r="D18">
        <v>5</v>
      </c>
      <c r="E18">
        <v>4</v>
      </c>
      <c r="F18">
        <v>3</v>
      </c>
    </row>
    <row r="19" spans="1:6" x14ac:dyDescent="0.45">
      <c r="A19" t="s">
        <v>62</v>
      </c>
      <c r="B19">
        <v>10</v>
      </c>
      <c r="C19">
        <v>5</v>
      </c>
      <c r="D19">
        <v>5</v>
      </c>
      <c r="E19">
        <v>3</v>
      </c>
      <c r="F19">
        <v>2</v>
      </c>
    </row>
    <row r="20" spans="1:6" x14ac:dyDescent="0.45">
      <c r="A20" t="s">
        <v>68</v>
      </c>
      <c r="C20">
        <f>SUMPRODUCT($B$14:$B$19,C14:C19)/SUM($B$14:$B$19)</f>
        <v>3.5</v>
      </c>
      <c r="D20">
        <f>SUMPRODUCT($B$14:$B$19,D14:D19)/SUM($B$14:$B$19)</f>
        <v>5</v>
      </c>
      <c r="E20">
        <f>SUMPRODUCT($B$14:$B$19,E14:E19)/SUM($B$14:$B$19)</f>
        <v>3.4</v>
      </c>
      <c r="F20">
        <f>SUMPRODUCT($B$14:$B$19,F14:F19)/SUM($B$14:$B$19)</f>
        <v>3.45</v>
      </c>
    </row>
  </sheetData>
  <conditionalFormatting sqref="C20:F2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{61190FEF-6B45-4603-B415-FC7257F80687}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190FEF-6B45-4603-B415-FC7257F806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C20:F20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feuille1</vt:lpstr>
      <vt:lpstr>Graphiques</vt:lpstr>
      <vt:lpstr>Gains calculés</vt:lpstr>
      <vt:lpstr>Données brute</vt:lpstr>
      <vt:lpstr>Matrice décision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fg</dc:creator>
  <cp:lastModifiedBy>jordan fg</cp:lastModifiedBy>
  <dcterms:created xsi:type="dcterms:W3CDTF">2015-06-05T18:19:34Z</dcterms:created>
  <dcterms:modified xsi:type="dcterms:W3CDTF">2026-05-19T16:20:06Z</dcterms:modified>
</cp:coreProperties>
</file>